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C04739E-51C8-4589-83F9-1507FC28742A}" xr6:coauthVersionLast="47" xr6:coauthVersionMax="47" xr10:uidLastSave="{00000000-0000-0000-0000-000000000000}"/>
  <bookViews>
    <workbookView xWindow="-110" yWindow="-110" windowWidth="19420" windowHeight="10300" xr2:uid="{2E659EBD-5F20-43C5-8F96-D7E7FE90A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B10" i="1"/>
  <c r="B9" i="1"/>
</calcChain>
</file>

<file path=xl/sharedStrings.xml><?xml version="1.0" encoding="utf-8"?>
<sst xmlns="http://schemas.openxmlformats.org/spreadsheetml/2006/main" count="12" uniqueCount="12">
  <si>
    <t>B</t>
  </si>
  <si>
    <t>Std. Error</t>
  </si>
  <si>
    <t>(Constant)</t>
  </si>
  <si>
    <t>Budaya Organisasi</t>
  </si>
  <si>
    <t>Pemberdayaan</t>
  </si>
  <si>
    <t>Tata Kelola Anggaran</t>
  </si>
  <si>
    <t>Kepuasan Kerja</t>
  </si>
  <si>
    <t>tx1y1</t>
  </si>
  <si>
    <t>ttabel</t>
  </si>
  <si>
    <t>X1 -&gt; Y1 -&gt; Z</t>
  </si>
  <si>
    <t>X2 -&gt; Y1 -&gt; Z</t>
  </si>
  <si>
    <t>X3 -&gt; Y1 -&gt;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</si>
</sst>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2" borderId="4" xfId="1" applyFont="1" applyFill="1" applyBorder="1" applyAlignment="1">
      <alignment horizontal="left" vertical="top" wrapText="1"/>
    </xf>
    <xf numFmtId="168" fontId="3" fillId="0" borderId="5" xfId="1" applyNumberFormat="1" applyFont="1" applyBorder="1" applyAlignment="1">
      <alignment horizontal="right" vertical="top"/>
    </xf>
    <xf numFmtId="168" fontId="3" fillId="0" borderId="6" xfId="1" applyNumberFormat="1" applyFont="1" applyBorder="1" applyAlignment="1">
      <alignment horizontal="right" vertical="top"/>
    </xf>
    <xf numFmtId="0" fontId="2" fillId="2" borderId="7" xfId="1" applyFont="1" applyFill="1" applyBorder="1" applyAlignment="1">
      <alignment horizontal="left" vertical="top" wrapText="1"/>
    </xf>
    <xf numFmtId="168" fontId="3" fillId="0" borderId="8" xfId="1" applyNumberFormat="1" applyFont="1" applyBorder="1" applyAlignment="1">
      <alignment horizontal="right" vertical="top"/>
    </xf>
    <xf numFmtId="168" fontId="3" fillId="0" borderId="9" xfId="1" applyNumberFormat="1" applyFont="1" applyBorder="1" applyAlignment="1">
      <alignment horizontal="right" vertical="top"/>
    </xf>
    <xf numFmtId="0" fontId="2" fillId="2" borderId="10" xfId="1" applyFont="1" applyFill="1" applyBorder="1" applyAlignment="1">
      <alignment horizontal="left" vertical="top" wrapText="1"/>
    </xf>
    <xf numFmtId="168" fontId="3" fillId="0" borderId="11" xfId="1" applyNumberFormat="1" applyFont="1" applyBorder="1" applyAlignment="1">
      <alignment horizontal="right" vertical="top"/>
    </xf>
    <xf numFmtId="168" fontId="3" fillId="0" borderId="12" xfId="1" applyNumberFormat="1" applyFont="1" applyBorder="1" applyAlignment="1">
      <alignment horizontal="right" vertical="top"/>
    </xf>
    <xf numFmtId="0" fontId="2" fillId="0" borderId="1" xfId="1" applyFont="1" applyBorder="1" applyAlignment="1">
      <alignment wrapText="1"/>
    </xf>
    <xf numFmtId="0" fontId="2" fillId="2" borderId="0" xfId="1" applyFont="1" applyFill="1" applyBorder="1" applyAlignment="1">
      <alignment horizontal="left" vertical="top" wrapText="1"/>
    </xf>
  </cellXfs>
  <cellStyles count="2">
    <cellStyle name="Normal" xfId="0" builtinId="0"/>
    <cellStyle name="Normal_Sheet1" xfId="1" xr:uid="{4FA8B71B-37F4-4D14-B522-5D56492E6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6C44-9BAF-4215-ABC8-D5470F1A1BD0}">
  <dimension ref="A1:D15"/>
  <sheetViews>
    <sheetView tabSelected="1" workbookViewId="0">
      <selection activeCell="L10" sqref="L10"/>
    </sheetView>
  </sheetViews>
  <sheetFormatPr defaultRowHeight="14.5" x14ac:dyDescent="0.35"/>
  <cols>
    <col min="1" max="1" width="11.26953125" customWidth="1"/>
  </cols>
  <sheetData>
    <row r="1" spans="1:4" x14ac:dyDescent="0.35">
      <c r="A1" s="13"/>
      <c r="B1" s="2" t="s">
        <v>0</v>
      </c>
      <c r="C1" s="3" t="s">
        <v>1</v>
      </c>
    </row>
    <row r="2" spans="1:4" x14ac:dyDescent="0.35">
      <c r="A2" s="4" t="s">
        <v>2</v>
      </c>
      <c r="B2" s="5">
        <v>21.228045031012563</v>
      </c>
      <c r="C2" s="6">
        <v>4.0752283124720448</v>
      </c>
    </row>
    <row r="3" spans="1:4" ht="23" x14ac:dyDescent="0.35">
      <c r="A3" s="7" t="s">
        <v>3</v>
      </c>
      <c r="B3" s="8">
        <v>7.6998142794633587E-2</v>
      </c>
      <c r="C3" s="9">
        <v>7.4179583358937942E-2</v>
      </c>
    </row>
    <row r="4" spans="1:4" ht="23" x14ac:dyDescent="0.35">
      <c r="A4" s="7" t="s">
        <v>4</v>
      </c>
      <c r="B4" s="8">
        <v>0.13309735257485225</v>
      </c>
      <c r="C4" s="9">
        <v>5.9137819676178517E-2</v>
      </c>
    </row>
    <row r="5" spans="1:4" ht="34.5" x14ac:dyDescent="0.35">
      <c r="A5" s="10" t="s">
        <v>5</v>
      </c>
      <c r="B5" s="11">
        <v>0.34488557619340959</v>
      </c>
      <c r="C5" s="12">
        <v>5.5045795413403681E-2</v>
      </c>
    </row>
    <row r="6" spans="1:4" ht="23" x14ac:dyDescent="0.35">
      <c r="A6" s="10" t="s">
        <v>6</v>
      </c>
      <c r="B6" s="11">
        <v>1.059256988682751</v>
      </c>
      <c r="C6" s="12">
        <v>0.13307825720081978</v>
      </c>
      <c r="D6" s="1"/>
    </row>
    <row r="8" spans="1:4" x14ac:dyDescent="0.35">
      <c r="A8" s="14" t="s">
        <v>9</v>
      </c>
    </row>
    <row r="9" spans="1:4" x14ac:dyDescent="0.35">
      <c r="A9" s="14" t="s">
        <v>7</v>
      </c>
      <c r="B9">
        <f>(B3*B6)/(SQRT(B3*C6+B6*C3))</f>
        <v>0.27366626402082855</v>
      </c>
      <c r="C9" t="str">
        <f>IF(B9&gt;B10,"Sukses Intervensi","Gagal Intervensi")</f>
        <v>Gagal Intervensi</v>
      </c>
    </row>
    <row r="10" spans="1:4" x14ac:dyDescent="0.35">
      <c r="A10" s="14" t="s">
        <v>8</v>
      </c>
      <c r="B10">
        <f>TINV(0.05,116-3)</f>
        <v>1.9811803594146622</v>
      </c>
    </row>
    <row r="12" spans="1:4" x14ac:dyDescent="0.35">
      <c r="A12" s="14" t="s">
        <v>10</v>
      </c>
    </row>
    <row r="15" spans="1:4" x14ac:dyDescent="0.35">
      <c r="A15" s="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2025-03-11T03:53:36Z</dcterms:created>
  <dcterms:modified xsi:type="dcterms:W3CDTF">2025-03-11T04:28:34Z</dcterms:modified>
</cp:coreProperties>
</file>